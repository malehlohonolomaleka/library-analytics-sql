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Top Books" sheetId="2" state="visible" r:id="rId4"/>
    <sheet name="Monthly Trend" sheetId="3" state="visible" r:id="rId5"/>
    <sheet name="Genre Breakdown" sheetId="4" state="visible" r:id="rId6"/>
    <sheet name="Overdue Loa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<sst xmlns="http://schemas.openxmlformats.org/spreadsheetml/2006/main" count="449" uniqueCount="248">
  <si>
    <t xml:space="preserve">Library Analytics — KPI Summary</t>
  </si>
  <si>
    <t xml:space="preserve">Metric</t>
  </si>
  <si>
    <t xml:space="preserve">Value</t>
  </si>
  <si>
    <t xml:space="preserve">Total loans (top-10 tracked titles)</t>
  </si>
  <si>
    <t xml:space="preserve">Most borrowed title</t>
  </si>
  <si>
    <t xml:space="preserve">Currently overdue loans</t>
  </si>
  <si>
    <t xml:space="preserve">Longest overdue (days)</t>
  </si>
  <si>
    <t xml:space="preserve">Busiest month (loans)</t>
  </si>
  <si>
    <t xml:space="preserve">Total months tracked</t>
  </si>
  <si>
    <t xml:space="preserve">title</t>
  </si>
  <si>
    <t xml:space="preserve">author</t>
  </si>
  <si>
    <t xml:space="preserve">times_borrowed</t>
  </si>
  <si>
    <t xml:space="preserve">Sapiens: A Retelling</t>
  </si>
  <si>
    <t xml:space="preserve">Nnedi Okorafor</t>
  </si>
  <si>
    <t xml:space="preserve">Fractured Light</t>
  </si>
  <si>
    <t xml:space="preserve">Kazuo Ishiguro</t>
  </si>
  <si>
    <t xml:space="preserve">Where the Rivers Meet</t>
  </si>
  <si>
    <t xml:space="preserve">J.M. Coetzee</t>
  </si>
  <si>
    <t xml:space="preserve">Atomic Habits Revisited</t>
  </si>
  <si>
    <t xml:space="preserve">Northern Lights Falling</t>
  </si>
  <si>
    <t xml:space="preserve">Yaa Gyasi</t>
  </si>
  <si>
    <t xml:space="preserve">The Midnight Library Card</t>
  </si>
  <si>
    <t xml:space="preserve">The Fisherman's Daughter</t>
  </si>
  <si>
    <t xml:space="preserve">Andre Brink</t>
  </si>
  <si>
    <t xml:space="preserve">Ashes and Amber</t>
  </si>
  <si>
    <t xml:space="preserve">Delia Owens</t>
  </si>
  <si>
    <t xml:space="preserve">Homegoing Ways</t>
  </si>
  <si>
    <t xml:space="preserve">The Last Harvest</t>
  </si>
  <si>
    <t xml:space="preserve">Trevor Noah</t>
  </si>
  <si>
    <t xml:space="preserve">month</t>
  </si>
  <si>
    <t xml:space="preserve">total_loans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</si>
  <si>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</si>
  <si>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</si>
  <si>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</si>
  <si>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</si>
  <si>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</si>
  <si>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</si>
  <si>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</si>
  <si>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</si>
  <si>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</si>
  <si>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</si>
  <si>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</si>
  <si>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</si>
  <si>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</si>
  <si>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</si>
  <si>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</si>
  <si>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</si>
  <si>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</si>
  <si>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</si>
  <si>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</si>
  <si>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genre</t>
  </si>
  <si>
    <t xml:space="preserve">unique_borrowers</t>
  </si>
  <si>
    <t xml:space="preserve">Self-Help</t>
  </si>
  <si>
    <t xml:space="preserve">Literary Fiction</t>
  </si>
  <si>
    <t xml:space="preserve">Science Fiction</t>
  </si>
  <si>
    <t xml:space="preserve">Fantasy</t>
  </si>
  <si>
    <t xml:space="preserve">Biography</t>
  </si>
  <si>
    <t xml:space="preserve">History</t>
  </si>
  <si>
    <t xml:space="preserve">Romance</t>
  </si>
  <si>
    <t xml:space="preserve">Non-Fiction</t>
  </si>
  <si>
    <t xml:space="preserve">member_name</t>
  </si>
  <si>
    <t xml:space="preserve">due_date</t>
  </si>
  <si>
    <t xml:space="preserve">days_overdue</t>
  </si>
  <si>
    <t xml:space="preserve">Kagiso Khumalo</t>
  </si>
  <si>
    <t xml:space="preserve">The Midnight Library</t>
  </si>
  <si>
    <t xml:space="preserve">2025-01-17</t>
  </si>
  <si>
    <t xml:space="preserve">Bongani Dlamini</t>
  </si>
  <si>
    <t xml:space="preserve">2025-01-18</t>
  </si>
  <si>
    <t xml:space="preserve">Kagiso Zulu</t>
  </si>
  <si>
    <t xml:space="preserve">The Forgotten Archive</t>
  </si>
  <si>
    <t xml:space="preserve">2025-01-22</t>
  </si>
  <si>
    <t xml:space="preserve">Palesa Mthembu</t>
  </si>
  <si>
    <t xml:space="preserve">2025-02-01</t>
  </si>
  <si>
    <t xml:space="preserve">Nomvula Ndlovu</t>
  </si>
  <si>
    <t xml:space="preserve">Digital Sunrise</t>
  </si>
  <si>
    <t xml:space="preserve">2025-02-03</t>
  </si>
  <si>
    <t xml:space="preserve">Bongani Mahlangu</t>
  </si>
  <si>
    <t xml:space="preserve">It Ends With Us Too</t>
  </si>
  <si>
    <t xml:space="preserve">2025-02-05</t>
  </si>
  <si>
    <t xml:space="preserve">Kagiso Nkosi</t>
  </si>
  <si>
    <t xml:space="preserve">2025-02-21</t>
  </si>
  <si>
    <t xml:space="preserve">Naledi Ndlovu</t>
  </si>
  <si>
    <t xml:space="preserve">2025-02-24</t>
  </si>
  <si>
    <t xml:space="preserve">Nomvula Nkosi</t>
  </si>
  <si>
    <t xml:space="preserve">2025-03-04</t>
  </si>
  <si>
    <t xml:space="preserve">Katlego Mahlangu</t>
  </si>
  <si>
    <t xml:space="preserve">2025-03-05</t>
  </si>
  <si>
    <t xml:space="preserve">Tshepo Nkosi</t>
  </si>
  <si>
    <t xml:space="preserve">2025-03-06</t>
  </si>
  <si>
    <t xml:space="preserve">Palesa Khumalo</t>
  </si>
  <si>
    <t xml:space="preserve">Educated Again</t>
  </si>
  <si>
    <t xml:space="preserve">2025-03-07</t>
  </si>
  <si>
    <t xml:space="preserve">Zanele Dlamini</t>
  </si>
  <si>
    <t xml:space="preserve">2025-03-18</t>
  </si>
  <si>
    <t xml:space="preserve">Sizwe Molefe</t>
  </si>
  <si>
    <t xml:space="preserve">2025-03-25</t>
  </si>
  <si>
    <t xml:space="preserve">Zanele Zulu</t>
  </si>
  <si>
    <t xml:space="preserve">The Coder's Dilemma</t>
  </si>
  <si>
    <t xml:space="preserve">2025-03-26</t>
  </si>
  <si>
    <t xml:space="preserve">Kagiso Molefe</t>
  </si>
  <si>
    <t xml:space="preserve">2025-04-02</t>
  </si>
  <si>
    <t xml:space="preserve">Palesa Sithole</t>
  </si>
  <si>
    <t xml:space="preserve">2025-04-03</t>
  </si>
  <si>
    <t xml:space="preserve">Kagiso Mthembu</t>
  </si>
  <si>
    <t xml:space="preserve">2025-04-04</t>
  </si>
  <si>
    <t xml:space="preserve">Sizwe Mthembu</t>
  </si>
  <si>
    <t xml:space="preserve">2025-04-10</t>
  </si>
  <si>
    <t xml:space="preserve">Bongani Ndlovu</t>
  </si>
  <si>
    <t xml:space="preserve">2025-04-12</t>
  </si>
  <si>
    <t xml:space="preserve">Nomvula Dlamini</t>
  </si>
  <si>
    <t xml:space="preserve">2025-04-14</t>
  </si>
  <si>
    <t xml:space="preserve">2025-04-22</t>
  </si>
  <si>
    <t xml:space="preserve">2025-05-06</t>
  </si>
  <si>
    <t xml:space="preserve">Thabo Mthembu</t>
  </si>
  <si>
    <t xml:space="preserve">2025-05-07</t>
  </si>
  <si>
    <t xml:space="preserve">Katlego Dlamini</t>
  </si>
  <si>
    <t xml:space="preserve">2025-05-08</t>
  </si>
  <si>
    <t xml:space="preserve">Ayanda Mthembu</t>
  </si>
  <si>
    <t xml:space="preserve">2025-05-15</t>
  </si>
  <si>
    <t xml:space="preserve">Tshepo Sithole</t>
  </si>
  <si>
    <t xml:space="preserve">The Seven Husbands</t>
  </si>
  <si>
    <t xml:space="preserve">2025-05-21</t>
  </si>
  <si>
    <t xml:space="preserve">Katlego Mokoena</t>
  </si>
  <si>
    <t xml:space="preserve">2025-06-04</t>
  </si>
  <si>
    <t xml:space="preserve">Sizwe Ndlovu</t>
  </si>
  <si>
    <t xml:space="preserve">2025-06-05</t>
  </si>
  <si>
    <t xml:space="preserve">Thabo Dlamini</t>
  </si>
  <si>
    <t xml:space="preserve">Sipho Zulu</t>
  </si>
  <si>
    <t xml:space="preserve">2025-06-07</t>
  </si>
  <si>
    <t xml:space="preserve">Ayanda Mahlangu</t>
  </si>
  <si>
    <t xml:space="preserve">2025-06-16</t>
  </si>
  <si>
    <t xml:space="preserve">The Quiet Storm</t>
  </si>
  <si>
    <t xml:space="preserve">2025-06-17</t>
  </si>
  <si>
    <t xml:space="preserve">2025-06-18</t>
  </si>
  <si>
    <t xml:space="preserve">2025-06-19</t>
  </si>
  <si>
    <t xml:space="preserve">Naledi Dlamini</t>
  </si>
  <si>
    <t xml:space="preserve">2025-06-23</t>
  </si>
  <si>
    <t xml:space="preserve">2025-06-27</t>
  </si>
  <si>
    <t xml:space="preserve">2025-07-04</t>
  </si>
  <si>
    <t xml:space="preserve">2025-07-15</t>
  </si>
  <si>
    <t xml:space="preserve">Nomvula Molefe</t>
  </si>
  <si>
    <t xml:space="preserve">2025-07-21</t>
  </si>
  <si>
    <t xml:space="preserve">2025-07-23</t>
  </si>
  <si>
    <t xml:space="preserve">The Silent Patient's Return</t>
  </si>
  <si>
    <t xml:space="preserve">2025-07-24</t>
  </si>
  <si>
    <t xml:space="preserve">2025-07-25</t>
  </si>
  <si>
    <t xml:space="preserve">The River Between</t>
  </si>
  <si>
    <t xml:space="preserve">2025-07-28</t>
  </si>
  <si>
    <t xml:space="preserve">2025-08-01</t>
  </si>
  <si>
    <t xml:space="preserve">2025-08-16</t>
  </si>
  <si>
    <t xml:space="preserve">Thabo Mokoena</t>
  </si>
  <si>
    <t xml:space="preserve">2025-08-29</t>
  </si>
  <si>
    <t xml:space="preserve">2025-09-01</t>
  </si>
  <si>
    <t xml:space="preserve">Lerato Molefe</t>
  </si>
  <si>
    <t xml:space="preserve">Becoming Someone Else</t>
  </si>
  <si>
    <t xml:space="preserve">2025-09-03</t>
  </si>
  <si>
    <t xml:space="preserve">2025-09-04</t>
  </si>
  <si>
    <t xml:space="preserve">2025-09-17</t>
  </si>
  <si>
    <t xml:space="preserve">2025-09-20</t>
  </si>
  <si>
    <t xml:space="preserve">2025-09-26</t>
  </si>
  <si>
    <t xml:space="preserve">2025-09-30</t>
  </si>
  <si>
    <t xml:space="preserve">The Wandering Mind</t>
  </si>
  <si>
    <t xml:space="preserve">2025-10-01</t>
  </si>
  <si>
    <t xml:space="preserve">2025-10-08</t>
  </si>
  <si>
    <t xml:space="preserve">Bongani Khumalo</t>
  </si>
  <si>
    <t xml:space="preserve">2025-10-24</t>
  </si>
  <si>
    <t xml:space="preserve">Nomvula Sithole</t>
  </si>
  <si>
    <t xml:space="preserve">2025-10-30</t>
  </si>
  <si>
    <t xml:space="preserve">Thabo Nkosi</t>
  </si>
  <si>
    <t xml:space="preserve">2025-11-10</t>
  </si>
  <si>
    <t xml:space="preserve">Kagiso Mokoena</t>
  </si>
  <si>
    <t xml:space="preserve">2025-11-12</t>
  </si>
  <si>
    <t xml:space="preserve">Tshepo Mokoena</t>
  </si>
  <si>
    <t xml:space="preserve">2025-11-24</t>
  </si>
  <si>
    <t xml:space="preserve">2025-12-08</t>
  </si>
  <si>
    <t xml:space="preserve">Katlego Sithole</t>
  </si>
  <si>
    <t xml:space="preserve">2025-12-10</t>
  </si>
  <si>
    <t xml:space="preserve">Mpho Khumalo</t>
  </si>
  <si>
    <t xml:space="preserve">2025-12-11</t>
  </si>
  <si>
    <t xml:space="preserve">2025-12-12</t>
  </si>
  <si>
    <t xml:space="preserve">2025-12-17</t>
  </si>
  <si>
    <t xml:space="preserve">Bongani Sithole</t>
  </si>
  <si>
    <t xml:space="preserve">2025-12-23</t>
  </si>
  <si>
    <t xml:space="preserve">City of Glass Towers</t>
  </si>
  <si>
    <t xml:space="preserve">2025-12-27</t>
  </si>
  <si>
    <t xml:space="preserve">2025-12-30</t>
  </si>
  <si>
    <t xml:space="preserve">Zanele Nkosi</t>
  </si>
  <si>
    <t xml:space="preserve">2025-12-31</t>
  </si>
  <si>
    <t xml:space="preserve">2026-01-05</t>
  </si>
  <si>
    <t xml:space="preserve">2026-01-06</t>
  </si>
  <si>
    <t xml:space="preserve">2026-01-15</t>
  </si>
  <si>
    <t xml:space="preserve">Lerato Sithole</t>
  </si>
  <si>
    <t xml:space="preserve">2026-01-22</t>
  </si>
  <si>
    <t xml:space="preserve">2026-01-26</t>
  </si>
  <si>
    <t xml:space="preserve">Mpho Dlamini</t>
  </si>
  <si>
    <t xml:space="preserve">2026-01-29</t>
  </si>
  <si>
    <t xml:space="preserve">Sipho Khumalo</t>
  </si>
  <si>
    <t xml:space="preserve">2026-01-31</t>
  </si>
  <si>
    <t xml:space="preserve">2026-02-06</t>
  </si>
  <si>
    <t xml:space="preserve">Naledi Mokoena</t>
  </si>
  <si>
    <t xml:space="preserve">2026-02-12</t>
  </si>
  <si>
    <t xml:space="preserve">2026-02-14</t>
  </si>
  <si>
    <t xml:space="preserve">2026-02-17</t>
  </si>
  <si>
    <t xml:space="preserve">2026-02-18</t>
  </si>
  <si>
    <t xml:space="preserve">2026-03-02</t>
  </si>
  <si>
    <t xml:space="preserve">2026-03-04</t>
  </si>
  <si>
    <t xml:space="preserve">2026-03-11</t>
  </si>
  <si>
    <t xml:space="preserve">2026-03-14</t>
  </si>
  <si>
    <t xml:space="preserve">2026-03-19</t>
  </si>
  <si>
    <t xml:space="preserve">2026-03-20</t>
  </si>
  <si>
    <t xml:space="preserve">2026-03-24</t>
  </si>
  <si>
    <t xml:space="preserve">Autumn in the Cape</t>
  </si>
  <si>
    <t xml:space="preserve">2026-03-25</t>
  </si>
  <si>
    <t xml:space="preserve">2026-04-13</t>
  </si>
  <si>
    <t xml:space="preserve">2026-04-17</t>
  </si>
  <si>
    <t xml:space="preserve">2026-04-22</t>
  </si>
  <si>
    <t xml:space="preserve">2026-04-24</t>
  </si>
  <si>
    <t xml:space="preserve">2026-04-25</t>
  </si>
  <si>
    <t xml:space="preserve">2026-04-27</t>
  </si>
  <si>
    <t xml:space="preserve">Naledi Nkosi</t>
  </si>
  <si>
    <t xml:space="preserve">2026-04-29</t>
  </si>
  <si>
    <t xml:space="preserve">The Long Walk Home</t>
  </si>
  <si>
    <t xml:space="preserve">2026-04-30</t>
  </si>
  <si>
    <t xml:space="preserve">Ayanda Zulu</t>
  </si>
  <si>
    <t xml:space="preserve">Bongani Zulu</t>
  </si>
  <si>
    <t xml:space="preserve">2026-05-04</t>
  </si>
  <si>
    <t xml:space="preserve">Beneath the Baobab</t>
  </si>
  <si>
    <t xml:space="preserve">2026-05-09</t>
  </si>
  <si>
    <t xml:space="preserve">2026-05-11</t>
  </si>
  <si>
    <t xml:space="preserve">Verity's Shadow</t>
  </si>
  <si>
    <t xml:space="preserve">2026-05-14</t>
  </si>
  <si>
    <t xml:space="preserve">Bongani Mthembu</t>
  </si>
  <si>
    <t xml:space="preserve">2026-05-18</t>
  </si>
  <si>
    <t xml:space="preserve">2026-05-20</t>
  </si>
  <si>
    <t xml:space="preserve">Naledi Mthembu</t>
  </si>
  <si>
    <t xml:space="preserve">2026-05-23</t>
  </si>
  <si>
    <t xml:space="preserve">2026-05-30</t>
  </si>
  <si>
    <t xml:space="preserve">2026-06-02</t>
  </si>
  <si>
    <t xml:space="preserve">Mpho Ndlovu</t>
  </si>
  <si>
    <t xml:space="preserve">2026-06-05</t>
  </si>
  <si>
    <t xml:space="preserve">2026-06-08</t>
  </si>
  <si>
    <t xml:space="preserve">2026-06-09</t>
  </si>
  <si>
    <t xml:space="preserve">2026-06-16</t>
  </si>
  <si>
    <t xml:space="preserve">2026-07-04</t>
  </si>
  <si>
    <t xml:space="preserve">2026-07-06</t>
  </si>
  <si>
    <t xml:space="preserve">2026-07-07</t>
  </si>
  <si>
    <t xml:space="preserve">2026-07-10</t>
  </si>
  <si>
    <t xml:space="preserve">2026-07-15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</si>
</sst>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E5A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A88"/>
        <bgColor rgb="FF4672A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Most Borrowed Books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Books'!C1</c:f>
              <c:strCache>
                <c:ptCount val="1"/>
                <c:pt idx="0">
                  <c:v>times_borrowed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Books'!$A$2:$A$11</c:f>
              <c:strCache>
                <c:ptCount val="10"/>
                <c:pt idx="0">
                  <c:v>Sapiens: A Retelling</c:v>
                </c:pt>
                <c:pt idx="1">
                  <c:v>Fractured Light</c:v>
                </c:pt>
                <c:pt idx="2">
                  <c:v>Where the Rivers Meet</c:v>
                </c:pt>
                <c:pt idx="3">
                  <c:v>Atomic Habits Revisited</c:v>
                </c:pt>
                <c:pt idx="4">
                  <c:v>Northern Lights Falling</c:v>
                </c:pt>
                <c:pt idx="5">
                  <c:v>The Midnight Library Card</c:v>
                </c:pt>
                <c:pt idx="6">
                  <c:v>The Fisherman's Daughter</c:v>
                </c:pt>
                <c:pt idx="7">
                  <c:v>Ashes and Amber</c:v>
                </c:pt>
                <c:pt idx="8">
                  <c:v>Homegoing Ways</c:v>
                </c:pt>
                <c:pt idx="9">
                  <c:v>The Last Harvest</c:v>
                </c:pt>
              </c:strCache>
            </c:strRef>
          </c:cat>
          <c:val>
            <c:numRef>
              <c:f>'Top Books'!$C$2:$C$11</c:f>
              <c:numCache>
                <c:formatCode>General</c:formatCode>
                <c:ptCount val="10"/>
                <c:pt idx="0">
                  <c:v>122</c:v>
                </c:pt>
                <c:pt idx="1">
                  <c:v>83</c:v>
                </c:pt>
                <c:pt idx="2">
                  <c:v>80</c:v>
                </c:pt>
                <c:pt idx="3">
                  <c:v>74</c:v>
                </c:pt>
                <c:pt idx="4">
                  <c:v>64</c:v>
                </c:pt>
                <c:pt idx="5">
                  <c:v>63</c:v>
                </c:pt>
                <c:pt idx="6">
                  <c:v>62</c:v>
                </c:pt>
                <c:pt idx="7">
                  <c:v>57</c:v>
                </c:pt>
                <c:pt idx="8">
                  <c:v>54</c:v>
                </c:pt>
                <c:pt idx="9">
                  <c:v>46</c:v>
                </c:pt>
              </c:numCache>
            </c:numRef>
          </c:val>
        </c:ser>
        <c:gapWidth val="150"/>
        <c:overlap val="0"/>
        <c:axId val="46989104"/>
        <c:axId val="62850916"/>
      </c:barChart>
      <c:catAx>
        <c:axId val="469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50916"/>
        <c:crosses val="autoZero"/>
        <c:auto val="1"/>
        <c:lblAlgn val="ctr"/>
        <c:lblOffset val="100"/>
        <c:noMultiLvlLbl val="0"/>
      </c:catAx>
      <c:valAx>
        <c:axId val="62850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Times Borrowed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89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Loan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Trend'!$A$2:$A$20</c:f>
              <c:strCache>
                <c:ptCount val="19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</c:strCache>
            </c:strRef>
          </c:cat>
          <c:val>
            <c:numRef>
              <c:f>'Monthly Trend'!$B$2:$B$20</c:f>
              <c:numCache>
                <c:formatCode>General</c:formatCode>
                <c:ptCount val="19"/>
                <c:pt idx="0">
                  <c:v>78</c:v>
                </c:pt>
                <c:pt idx="1">
                  <c:v>61</c:v>
                </c:pt>
                <c:pt idx="2">
                  <c:v>69</c:v>
                </c:pt>
                <c:pt idx="3">
                  <c:v>62</c:v>
                </c:pt>
                <c:pt idx="4">
                  <c:v>83</c:v>
                </c:pt>
                <c:pt idx="5">
                  <c:v>54</c:v>
                </c:pt>
                <c:pt idx="6">
                  <c:v>65</c:v>
                </c:pt>
                <c:pt idx="7">
                  <c:v>60</c:v>
                </c:pt>
                <c:pt idx="8">
                  <c:v>67</c:v>
                </c:pt>
                <c:pt idx="9">
                  <c:v>63</c:v>
                </c:pt>
                <c:pt idx="10">
                  <c:v>60</c:v>
                </c:pt>
                <c:pt idx="11">
                  <c:v>62</c:v>
                </c:pt>
                <c:pt idx="12">
                  <c:v>70</c:v>
                </c:pt>
                <c:pt idx="13">
                  <c:v>58</c:v>
                </c:pt>
                <c:pt idx="14">
                  <c:v>69</c:v>
                </c:pt>
                <c:pt idx="15">
                  <c:v>60</c:v>
                </c:pt>
                <c:pt idx="16">
                  <c:v>67</c:v>
                </c:pt>
                <c:pt idx="17">
                  <c:v>62</c:v>
                </c:pt>
                <c:pt idx="18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666861"/>
        <c:axId val="60664611"/>
      </c:lineChart>
      <c:catAx>
        <c:axId val="12666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64611"/>
        <c:crosses val="autoZero"/>
        <c:auto val="1"/>
        <c:lblAlgn val="ctr"/>
        <c:lblOffset val="100"/>
        <c:noMultiLvlLbl val="0"/>
      </c:catAx>
      <c:valAx>
        <c:axId val="60664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Loans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66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Loans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'Genre Breakdown'!B1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'Genre Breakdown'!$A$2:$A$9</c:f>
              <c:strCache>
                <c:ptCount val="8"/>
                <c:pt idx="0">
                  <c:v>Self-Help</c:v>
                </c:pt>
                <c:pt idx="1">
                  <c:v>Literary Fiction</c:v>
                </c:pt>
                <c:pt idx="2">
                  <c:v>Science Fiction</c:v>
                </c:pt>
                <c:pt idx="3">
                  <c:v>Fantasy</c:v>
                </c:pt>
                <c:pt idx="4">
                  <c:v>Biography</c:v>
                </c:pt>
                <c:pt idx="5">
                  <c:v>History</c:v>
                </c:pt>
                <c:pt idx="6">
                  <c:v>Romance</c:v>
                </c:pt>
                <c:pt idx="7">
                  <c:v>Non-Fiction</c:v>
                </c:pt>
              </c:strCache>
            </c:strRef>
          </c:cat>
          <c:val>
            <c:numRef>
              <c:f>'Genre Breakdown'!$B$2:$B$9</c:f>
              <c:numCache>
                <c:formatCode>General</c:formatCode>
                <c:ptCount val="8"/>
                <c:pt idx="0">
                  <c:v>258</c:v>
                </c:pt>
                <c:pt idx="1">
                  <c:v>258</c:v>
                </c:pt>
                <c:pt idx="2">
                  <c:v>233</c:v>
                </c:pt>
                <c:pt idx="3">
                  <c:v>160</c:v>
                </c:pt>
                <c:pt idx="4">
                  <c:v>106</c:v>
                </c:pt>
                <c:pt idx="5">
                  <c:v>63</c:v>
                </c:pt>
                <c:pt idx="6">
                  <c:v>57</c:v>
                </c:pt>
                <c:pt idx="7">
                  <c:v>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581760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498168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15</xdr:col>
      <xdr:colOff>581760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4276800" y="190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</cols>
  <sheetData>
    <row r="1" customFormat="false" ht="16.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f aca="false">SUM('Top Books'!C2:C11)</f>
        <v>705</v>
      </c>
    </row>
    <row r="5" customFormat="false" ht="15" hidden="false" customHeight="false" outlineLevel="0" collapsed="false">
      <c r="A5" s="3" t="s">
        <v>4</v>
      </c>
      <c r="B5" s="3" t="str">
        <f aca="false">INDEX('Top Books'!A2:A11, MATCH(MAX('Top Books'!C2:C11), 'Top Books'!C2:C11, 0))</f>
        <v>Sapiens: A Retelling</v>
      </c>
    </row>
    <row r="6" customFormat="false" ht="15" hidden="false" customHeight="false" outlineLevel="0" collapsed="false">
      <c r="A6" s="3" t="s">
        <v>5</v>
      </c>
      <c r="B6" s="3" t="n">
        <f aca="false">COUNTA('Overdue Loans'!A2:A128)</f>
        <v>127</v>
      </c>
    </row>
    <row r="7" customFormat="false" ht="15" hidden="false" customHeight="false" outlineLevel="0" collapsed="false">
      <c r="A7" s="3" t="s">
        <v>6</v>
      </c>
      <c r="B7" s="3" t="n">
        <f aca="false">MAX('Overdue Loans'!D2:D128)</f>
        <v>557</v>
      </c>
    </row>
    <row r="8" customFormat="false" ht="15" hidden="false" customHeight="false" outlineLevel="0" collapsed="false">
      <c r="A8" s="3" t="s">
        <v>7</v>
      </c>
      <c r="B8" s="3" t="n">
        <f aca="false">MAX('Monthly Trend'!B2:B20)</f>
        <v>83</v>
      </c>
    </row>
    <row r="9" customFormat="false" ht="15" hidden="false" customHeight="false" outlineLevel="0" collapsed="false">
      <c r="A9" s="3" t="s">
        <v>8</v>
      </c>
      <c r="B9" s="3" t="n">
        <f aca="false">COUNTA('Monthly Trend'!A2:A20)</f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7"/>
  </cols>
  <sheetData>
    <row r="1" customFormat="false" ht="15" hidden="false" customHeight="false" outlineLevel="0" collapsed="false">
      <c r="A1" s="2" t="s">
        <v>9</v>
      </c>
      <c r="B1" s="2" t="s">
        <v>10</v>
      </c>
      <c r="C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n">
        <v>122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n">
        <v>83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n">
        <v>80</v>
      </c>
    </row>
    <row r="5" customFormat="false" ht="15" hidden="false" customHeight="false" outlineLevel="0" collapsed="false">
      <c r="A5" s="3" t="s">
        <v>18</v>
      </c>
      <c r="B5" s="3" t="s">
        <v>13</v>
      </c>
      <c r="C5" s="3" t="n">
        <v>74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n">
        <v>64</v>
      </c>
    </row>
    <row r="7" customFormat="false" ht="15" hidden="false" customHeight="false" outlineLevel="0" collapsed="false">
      <c r="A7" s="3" t="s">
        <v>21</v>
      </c>
      <c r="B7" s="3" t="s">
        <v>15</v>
      </c>
      <c r="C7" s="3" t="n">
        <v>63</v>
      </c>
    </row>
    <row r="8" customFormat="false" ht="15" hidden="false" customHeight="false" outlineLevel="0" collapsed="false">
      <c r="A8" s="3" t="s">
        <v>22</v>
      </c>
      <c r="B8" s="3" t="s">
        <v>23</v>
      </c>
      <c r="C8" s="3" t="n">
        <v>62</v>
      </c>
    </row>
    <row r="9" customFormat="false" ht="15" hidden="false" customHeight="false" outlineLevel="0" collapsed="false">
      <c r="A9" s="3" t="s">
        <v>24</v>
      </c>
      <c r="B9" s="3" t="s">
        <v>25</v>
      </c>
      <c r="C9" s="3" t="n">
        <v>57</v>
      </c>
    </row>
    <row r="10" customFormat="false" ht="15" hidden="false" customHeight="false" outlineLevel="0" collapsed="false">
      <c r="A10" s="3" t="s">
        <v>26</v>
      </c>
      <c r="B10" s="3" t="s">
        <v>17</v>
      </c>
      <c r="C10" s="3" t="n">
        <v>54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n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29</v>
      </c>
      <c r="B1" s="2" t="s">
        <v>30</v>
      </c>
    </row>
    <row r="2" customFormat="false" ht="15" hidden="false" customHeight="false" outlineLevel="0" collapsed="false">
      <c r="A2" s="3" t="s">
        <v>31</v>
      </c>
      <c r="B2" s="3" t="n">
        <v>78</v>
      </c>
    </row>
    <row r="3" customFormat="false" ht="15" hidden="false" customHeight="false" outlineLevel="0" collapsed="false">
      <c r="A3" s="3" t="s">
        <v>32</v>
      </c>
      <c r="B3" s="3" t="n">
        <v>61</v>
      </c>
    </row>
    <row r="4" customFormat="false" ht="15" hidden="false" customHeight="false" outlineLevel="0" collapsed="false">
      <c r="A4" s="3" t="s">
        <v>33</v>
      </c>
      <c r="B4" s="3" t="n">
        <v>69</v>
      </c>
    </row>
    <row r="5" customFormat="false" ht="15" hidden="false" customHeight="false" outlineLevel="0" collapsed="false">
      <c r="A5" s="3" t="s">
        <v>34</v>
      </c>
      <c r="B5" s="3" t="n">
        <v>62</v>
      </c>
    </row>
    <row r="6" customFormat="false" ht="15" hidden="false" customHeight="false" outlineLevel="0" collapsed="false">
      <c r="A6" s="3" t="s">
        <v>35</v>
      </c>
      <c r="B6" s="3" t="n">
        <v>83</v>
      </c>
    </row>
    <row r="7" customFormat="false" ht="15" hidden="false" customHeight="false" outlineLevel="0" collapsed="false">
      <c r="A7" s="3" t="s">
        <v>36</v>
      </c>
      <c r="B7" s="3" t="n">
        <v>54</v>
      </c>
    </row>
    <row r="8" customFormat="false" ht="15" hidden="false" customHeight="false" outlineLevel="0" collapsed="false">
      <c r="A8" s="3" t="s">
        <v>37</v>
      </c>
      <c r="B8" s="3" t="n">
        <v>65</v>
      </c>
    </row>
    <row r="9" customFormat="false" ht="15" hidden="false" customHeight="false" outlineLevel="0" collapsed="false">
      <c r="A9" s="3" t="s">
        <v>38</v>
      </c>
      <c r="B9" s="3" t="n">
        <v>60</v>
      </c>
    </row>
    <row r="10" customFormat="false" ht="15" hidden="false" customHeight="false" outlineLevel="0" collapsed="false">
      <c r="A10" s="3" t="s">
        <v>39</v>
      </c>
      <c r="B10" s="3" t="n">
        <v>67</v>
      </c>
    </row>
    <row r="11" customFormat="false" ht="15" hidden="false" customHeight="false" outlineLevel="0" collapsed="false">
      <c r="A11" s="3" t="s">
        <v>40</v>
      </c>
      <c r="B11" s="3" t="n">
        <v>63</v>
      </c>
    </row>
    <row r="12" customFormat="false" ht="15" hidden="false" customHeight="false" outlineLevel="0" collapsed="false">
      <c r="A12" s="3" t="s">
        <v>41</v>
      </c>
      <c r="B12" s="3" t="n">
        <v>60</v>
      </c>
    </row>
    <row r="13" customFormat="false" ht="15" hidden="false" customHeight="false" outlineLevel="0" collapsed="false">
      <c r="A13" s="3" t="s">
        <v>42</v>
      </c>
      <c r="B13" s="3" t="n">
        <v>62</v>
      </c>
    </row>
    <row r="14" customFormat="false" ht="15" hidden="false" customHeight="false" outlineLevel="0" collapsed="false">
      <c r="A14" s="3" t="s">
        <v>43</v>
      </c>
      <c r="B14" s="3" t="n">
        <v>70</v>
      </c>
    </row>
    <row r="15" customFormat="false" ht="15" hidden="false" customHeight="false" outlineLevel="0" collapsed="false">
      <c r="A15" s="3" t="s">
        <v>44</v>
      </c>
      <c r="B15" s="3" t="n">
        <v>58</v>
      </c>
    </row>
    <row r="16" customFormat="false" ht="15" hidden="false" customHeight="false" outlineLevel="0" collapsed="false">
      <c r="A16" s="3" t="s">
        <v>45</v>
      </c>
      <c r="B16" s="3" t="n">
        <v>69</v>
      </c>
    </row>
    <row r="17" customFormat="false" ht="15" hidden="false" customHeight="false" outlineLevel="0" collapsed="false">
      <c r="A17" s="3" t="s">
        <v>46</v>
      </c>
      <c r="B17" s="3" t="n">
        <v>60</v>
      </c>
    </row>
    <row r="18" customFormat="false" ht="15" hidden="false" customHeight="false" outlineLevel="0" collapsed="false">
      <c r="A18" s="3" t="s">
        <v>47</v>
      </c>
      <c r="B18" s="3" t="n">
        <v>67</v>
      </c>
    </row>
    <row r="19" customFormat="false" ht="15" hidden="false" customHeight="false" outlineLevel="0" collapsed="false">
      <c r="A19" s="3" t="s">
        <v>48</v>
      </c>
      <c r="B19" s="3" t="n">
        <v>62</v>
      </c>
    </row>
    <row r="20" customFormat="false" ht="15" hidden="false" customHeight="false" outlineLevel="0" collapsed="false">
      <c r="A20" s="3" t="s">
        <v>49</v>
      </c>
      <c r="B20" s="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2" t="s">
        <v>50</v>
      </c>
      <c r="B1" s="2" t="s">
        <v>30</v>
      </c>
      <c r="C1" s="2" t="s">
        <v>51</v>
      </c>
    </row>
    <row r="2" customFormat="false" ht="15" hidden="false" customHeight="false" outlineLevel="0" collapsed="false">
      <c r="A2" s="3" t="s">
        <v>52</v>
      </c>
      <c r="B2" s="3" t="n">
        <v>258</v>
      </c>
      <c r="C2" s="3" t="n">
        <v>60</v>
      </c>
    </row>
    <row r="3" customFormat="false" ht="15" hidden="false" customHeight="false" outlineLevel="0" collapsed="false">
      <c r="A3" s="3" t="s">
        <v>53</v>
      </c>
      <c r="B3" s="3" t="n">
        <v>258</v>
      </c>
      <c r="C3" s="3" t="n">
        <v>59</v>
      </c>
    </row>
    <row r="4" customFormat="false" ht="15" hidden="false" customHeight="false" outlineLevel="0" collapsed="false">
      <c r="A4" s="3" t="s">
        <v>54</v>
      </c>
      <c r="B4" s="3" t="n">
        <v>233</v>
      </c>
      <c r="C4" s="3" t="n">
        <v>59</v>
      </c>
    </row>
    <row r="5" customFormat="false" ht="15" hidden="false" customHeight="false" outlineLevel="0" collapsed="false">
      <c r="A5" s="3" t="s">
        <v>55</v>
      </c>
      <c r="B5" s="3" t="n">
        <v>160</v>
      </c>
      <c r="C5" s="3" t="n">
        <v>57</v>
      </c>
    </row>
    <row r="6" customFormat="false" ht="15" hidden="false" customHeight="false" outlineLevel="0" collapsed="false">
      <c r="A6" s="3" t="s">
        <v>56</v>
      </c>
      <c r="B6" s="3" t="n">
        <v>106</v>
      </c>
      <c r="C6" s="3" t="n">
        <v>56</v>
      </c>
    </row>
    <row r="7" customFormat="false" ht="15" hidden="false" customHeight="false" outlineLevel="0" collapsed="false">
      <c r="A7" s="3" t="s">
        <v>57</v>
      </c>
      <c r="B7" s="3" t="n">
        <v>63</v>
      </c>
      <c r="C7" s="3" t="n">
        <v>39</v>
      </c>
    </row>
    <row r="8" customFormat="false" ht="15" hidden="false" customHeight="false" outlineLevel="0" collapsed="false">
      <c r="A8" s="3" t="s">
        <v>58</v>
      </c>
      <c r="B8" s="3" t="n">
        <v>57</v>
      </c>
      <c r="C8" s="3" t="n">
        <v>39</v>
      </c>
    </row>
    <row r="9" customFormat="false" ht="15" hidden="false" customHeight="false" outlineLevel="0" collapsed="false">
      <c r="A9" s="3" t="s">
        <v>59</v>
      </c>
      <c r="B9" s="3" t="n">
        <v>39</v>
      </c>
      <c r="C9" s="3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2" t="s">
        <v>60</v>
      </c>
      <c r="B1" s="2" t="s">
        <v>9</v>
      </c>
      <c r="C1" s="2" t="s">
        <v>61</v>
      </c>
      <c r="D1" s="2" t="s">
        <v>62</v>
      </c>
    </row>
    <row r="2" customFormat="false" ht="15" hidden="false" customHeight="false" outlineLevel="0" collapsed="false">
      <c r="A2" s="3" t="s">
        <v>63</v>
      </c>
      <c r="B2" s="3" t="s">
        <v>64</v>
      </c>
      <c r="C2" s="3" t="s">
        <v>65</v>
      </c>
      <c r="D2" s="3" t="n">
        <v>557</v>
      </c>
    </row>
    <row r="3" customFormat="false" ht="15" hidden="false" customHeight="false" outlineLevel="0" collapsed="false">
      <c r="A3" s="3" t="s">
        <v>66</v>
      </c>
      <c r="B3" s="3" t="s">
        <v>22</v>
      </c>
      <c r="C3" s="3" t="s">
        <v>67</v>
      </c>
      <c r="D3" s="3" t="n">
        <v>556</v>
      </c>
    </row>
    <row r="4" customFormat="false" ht="15" hidden="false" customHeight="false" outlineLevel="0" collapsed="false">
      <c r="A4" s="3" t="s">
        <v>68</v>
      </c>
      <c r="B4" s="3" t="s">
        <v>69</v>
      </c>
      <c r="C4" s="3" t="s">
        <v>70</v>
      </c>
      <c r="D4" s="3" t="n">
        <v>552</v>
      </c>
    </row>
    <row r="5" customFormat="false" ht="15" hidden="false" customHeight="false" outlineLevel="0" collapsed="false">
      <c r="A5" s="3" t="s">
        <v>71</v>
      </c>
      <c r="B5" s="3" t="s">
        <v>14</v>
      </c>
      <c r="C5" s="3" t="s">
        <v>72</v>
      </c>
      <c r="D5" s="3" t="n">
        <v>542</v>
      </c>
    </row>
    <row r="6" customFormat="false" ht="15" hidden="false" customHeight="false" outlineLevel="0" collapsed="false">
      <c r="A6" s="3" t="s">
        <v>73</v>
      </c>
      <c r="B6" s="3" t="s">
        <v>74</v>
      </c>
      <c r="C6" s="3" t="s">
        <v>75</v>
      </c>
      <c r="D6" s="3" t="n">
        <v>540</v>
      </c>
    </row>
    <row r="7" customFormat="false" ht="15" hidden="false" customHeight="false" outlineLevel="0" collapsed="false">
      <c r="A7" s="3" t="s">
        <v>76</v>
      </c>
      <c r="B7" s="3" t="s">
        <v>77</v>
      </c>
      <c r="C7" s="3" t="s">
        <v>78</v>
      </c>
      <c r="D7" s="3" t="n">
        <v>538</v>
      </c>
    </row>
    <row r="8" customFormat="false" ht="15" hidden="false" customHeight="false" outlineLevel="0" collapsed="false">
      <c r="A8" s="3" t="s">
        <v>79</v>
      </c>
      <c r="B8" s="3" t="s">
        <v>27</v>
      </c>
      <c r="C8" s="3" t="s">
        <v>80</v>
      </c>
      <c r="D8" s="3" t="n">
        <v>522</v>
      </c>
    </row>
    <row r="9" customFormat="false" ht="15" hidden="false" customHeight="false" outlineLevel="0" collapsed="false">
      <c r="A9" s="3" t="s">
        <v>81</v>
      </c>
      <c r="B9" s="3" t="s">
        <v>12</v>
      </c>
      <c r="C9" s="3" t="s">
        <v>82</v>
      </c>
      <c r="D9" s="3" t="n">
        <v>519</v>
      </c>
    </row>
    <row r="10" customFormat="false" ht="15" hidden="false" customHeight="false" outlineLevel="0" collapsed="false">
      <c r="A10" s="3" t="s">
        <v>83</v>
      </c>
      <c r="B10" s="3" t="s">
        <v>19</v>
      </c>
      <c r="C10" s="3" t="s">
        <v>84</v>
      </c>
      <c r="D10" s="3" t="n">
        <v>511</v>
      </c>
    </row>
    <row r="11" customFormat="false" ht="15" hidden="false" customHeight="false" outlineLevel="0" collapsed="false">
      <c r="A11" s="3" t="s">
        <v>85</v>
      </c>
      <c r="B11" s="3" t="s">
        <v>24</v>
      </c>
      <c r="C11" s="3" t="s">
        <v>86</v>
      </c>
      <c r="D11" s="3" t="n">
        <v>510</v>
      </c>
    </row>
    <row r="12" customFormat="false" ht="15" hidden="false" customHeight="false" outlineLevel="0" collapsed="false">
      <c r="A12" s="3" t="s">
        <v>87</v>
      </c>
      <c r="B12" s="3" t="s">
        <v>22</v>
      </c>
      <c r="C12" s="3" t="s">
        <v>88</v>
      </c>
      <c r="D12" s="3" t="n">
        <v>509</v>
      </c>
    </row>
    <row r="13" customFormat="false" ht="15" hidden="false" customHeight="false" outlineLevel="0" collapsed="false">
      <c r="A13" s="3" t="s">
        <v>89</v>
      </c>
      <c r="B13" s="3" t="s">
        <v>90</v>
      </c>
      <c r="C13" s="3" t="s">
        <v>91</v>
      </c>
      <c r="D13" s="3" t="n">
        <v>508</v>
      </c>
    </row>
    <row r="14" customFormat="false" ht="15" hidden="false" customHeight="false" outlineLevel="0" collapsed="false">
      <c r="A14" s="3" t="s">
        <v>92</v>
      </c>
      <c r="B14" s="3" t="s">
        <v>21</v>
      </c>
      <c r="C14" s="3" t="s">
        <v>91</v>
      </c>
      <c r="D14" s="3" t="n">
        <v>508</v>
      </c>
    </row>
    <row r="15" customFormat="false" ht="15" hidden="false" customHeight="false" outlineLevel="0" collapsed="false">
      <c r="A15" s="3" t="s">
        <v>71</v>
      </c>
      <c r="B15" s="3" t="s">
        <v>22</v>
      </c>
      <c r="C15" s="3" t="s">
        <v>93</v>
      </c>
      <c r="D15" s="3" t="n">
        <v>497</v>
      </c>
    </row>
    <row r="16" customFormat="false" ht="15" hidden="false" customHeight="false" outlineLevel="0" collapsed="false">
      <c r="A16" s="3" t="s">
        <v>94</v>
      </c>
      <c r="B16" s="3" t="s">
        <v>12</v>
      </c>
      <c r="C16" s="3" t="s">
        <v>95</v>
      </c>
      <c r="D16" s="3" t="n">
        <v>490</v>
      </c>
    </row>
    <row r="17" customFormat="false" ht="15" hidden="false" customHeight="false" outlineLevel="0" collapsed="false">
      <c r="A17" s="3" t="s">
        <v>96</v>
      </c>
      <c r="B17" s="3" t="s">
        <v>97</v>
      </c>
      <c r="C17" s="3" t="s">
        <v>98</v>
      </c>
      <c r="D17" s="3" t="n">
        <v>489</v>
      </c>
    </row>
    <row r="18" customFormat="false" ht="15" hidden="false" customHeight="false" outlineLevel="0" collapsed="false">
      <c r="A18" s="3" t="s">
        <v>99</v>
      </c>
      <c r="B18" s="3" t="s">
        <v>97</v>
      </c>
      <c r="C18" s="3" t="s">
        <v>100</v>
      </c>
      <c r="D18" s="3" t="n">
        <v>482</v>
      </c>
    </row>
    <row r="19" customFormat="false" ht="15" hidden="false" customHeight="false" outlineLevel="0" collapsed="false">
      <c r="A19" s="3" t="s">
        <v>101</v>
      </c>
      <c r="B19" s="3" t="s">
        <v>26</v>
      </c>
      <c r="C19" s="3" t="s">
        <v>102</v>
      </c>
      <c r="D19" s="3" t="n">
        <v>481</v>
      </c>
    </row>
    <row r="20" customFormat="false" ht="15" hidden="false" customHeight="false" outlineLevel="0" collapsed="false">
      <c r="A20" s="3" t="s">
        <v>103</v>
      </c>
      <c r="B20" s="3" t="s">
        <v>77</v>
      </c>
      <c r="C20" s="3" t="s">
        <v>104</v>
      </c>
      <c r="D20" s="3" t="n">
        <v>480</v>
      </c>
    </row>
    <row r="21" customFormat="false" ht="15" hidden="false" customHeight="false" outlineLevel="0" collapsed="false">
      <c r="A21" s="3" t="s">
        <v>105</v>
      </c>
      <c r="B21" s="3" t="s">
        <v>77</v>
      </c>
      <c r="C21" s="3" t="s">
        <v>106</v>
      </c>
      <c r="D21" s="3" t="n">
        <v>474</v>
      </c>
    </row>
    <row r="22" customFormat="false" ht="15" hidden="false" customHeight="false" outlineLevel="0" collapsed="false">
      <c r="A22" s="3" t="s">
        <v>107</v>
      </c>
      <c r="B22" s="3" t="s">
        <v>77</v>
      </c>
      <c r="C22" s="3" t="s">
        <v>108</v>
      </c>
      <c r="D22" s="3" t="n">
        <v>472</v>
      </c>
    </row>
    <row r="23" customFormat="false" ht="15" hidden="false" customHeight="false" outlineLevel="0" collapsed="false">
      <c r="A23" s="3" t="s">
        <v>109</v>
      </c>
      <c r="B23" s="3" t="s">
        <v>97</v>
      </c>
      <c r="C23" s="3" t="s">
        <v>110</v>
      </c>
      <c r="D23" s="3" t="n">
        <v>470</v>
      </c>
    </row>
    <row r="24" customFormat="false" ht="15" hidden="false" customHeight="false" outlineLevel="0" collapsed="false">
      <c r="A24" s="3" t="s">
        <v>92</v>
      </c>
      <c r="B24" s="3" t="s">
        <v>24</v>
      </c>
      <c r="C24" s="3" t="s">
        <v>111</v>
      </c>
      <c r="D24" s="3" t="n">
        <v>462</v>
      </c>
    </row>
    <row r="25" customFormat="false" ht="15" hidden="false" customHeight="false" outlineLevel="0" collapsed="false">
      <c r="A25" s="3" t="s">
        <v>81</v>
      </c>
      <c r="B25" s="3" t="s">
        <v>24</v>
      </c>
      <c r="C25" s="3" t="s">
        <v>112</v>
      </c>
      <c r="D25" s="3" t="n">
        <v>448</v>
      </c>
    </row>
    <row r="26" customFormat="false" ht="15" hidden="false" customHeight="false" outlineLevel="0" collapsed="false">
      <c r="A26" s="3" t="s">
        <v>113</v>
      </c>
      <c r="B26" s="3" t="s">
        <v>14</v>
      </c>
      <c r="C26" s="3" t="s">
        <v>114</v>
      </c>
      <c r="D26" s="3" t="n">
        <v>447</v>
      </c>
    </row>
    <row r="27" customFormat="false" ht="15" hidden="false" customHeight="false" outlineLevel="0" collapsed="false">
      <c r="A27" s="3" t="s">
        <v>115</v>
      </c>
      <c r="B27" s="3" t="s">
        <v>18</v>
      </c>
      <c r="C27" s="3" t="s">
        <v>116</v>
      </c>
      <c r="D27" s="3" t="n">
        <v>446</v>
      </c>
    </row>
    <row r="28" customFormat="false" ht="15" hidden="false" customHeight="false" outlineLevel="0" collapsed="false">
      <c r="A28" s="3" t="s">
        <v>117</v>
      </c>
      <c r="B28" s="3" t="s">
        <v>18</v>
      </c>
      <c r="C28" s="3" t="s">
        <v>118</v>
      </c>
      <c r="D28" s="3" t="n">
        <v>439</v>
      </c>
    </row>
    <row r="29" customFormat="false" ht="15" hidden="false" customHeight="false" outlineLevel="0" collapsed="false">
      <c r="A29" s="3" t="s">
        <v>119</v>
      </c>
      <c r="B29" s="3" t="s">
        <v>120</v>
      </c>
      <c r="C29" s="3" t="s">
        <v>121</v>
      </c>
      <c r="D29" s="3" t="n">
        <v>433</v>
      </c>
    </row>
    <row r="30" customFormat="false" ht="15" hidden="false" customHeight="false" outlineLevel="0" collapsed="false">
      <c r="A30" s="3" t="s">
        <v>122</v>
      </c>
      <c r="B30" s="3" t="s">
        <v>14</v>
      </c>
      <c r="C30" s="3" t="s">
        <v>123</v>
      </c>
      <c r="D30" s="3" t="n">
        <v>419</v>
      </c>
    </row>
    <row r="31" customFormat="false" ht="15" hidden="false" customHeight="false" outlineLevel="0" collapsed="false">
      <c r="A31" s="3" t="s">
        <v>124</v>
      </c>
      <c r="B31" s="3" t="s">
        <v>64</v>
      </c>
      <c r="C31" s="3" t="s">
        <v>125</v>
      </c>
      <c r="D31" s="3" t="n">
        <v>418</v>
      </c>
    </row>
    <row r="32" customFormat="false" ht="15" hidden="false" customHeight="false" outlineLevel="0" collapsed="false">
      <c r="A32" s="3" t="s">
        <v>126</v>
      </c>
      <c r="B32" s="3" t="s">
        <v>74</v>
      </c>
      <c r="C32" s="3" t="s">
        <v>125</v>
      </c>
      <c r="D32" s="3" t="n">
        <v>418</v>
      </c>
    </row>
    <row r="33" customFormat="false" ht="15" hidden="false" customHeight="false" outlineLevel="0" collapsed="false">
      <c r="A33" s="3" t="s">
        <v>127</v>
      </c>
      <c r="B33" s="3" t="s">
        <v>12</v>
      </c>
      <c r="C33" s="3" t="s">
        <v>128</v>
      </c>
      <c r="D33" s="3" t="n">
        <v>416</v>
      </c>
    </row>
    <row r="34" customFormat="false" ht="15" hidden="false" customHeight="false" outlineLevel="0" collapsed="false">
      <c r="A34" s="3" t="s">
        <v>129</v>
      </c>
      <c r="B34" s="3" t="s">
        <v>77</v>
      </c>
      <c r="C34" s="3" t="s">
        <v>130</v>
      </c>
      <c r="D34" s="3" t="n">
        <v>407</v>
      </c>
    </row>
    <row r="35" customFormat="false" ht="15" hidden="false" customHeight="false" outlineLevel="0" collapsed="false">
      <c r="A35" s="3" t="s">
        <v>115</v>
      </c>
      <c r="B35" s="3" t="s">
        <v>131</v>
      </c>
      <c r="C35" s="3" t="s">
        <v>132</v>
      </c>
      <c r="D35" s="3" t="n">
        <v>406</v>
      </c>
    </row>
    <row r="36" customFormat="false" ht="15" hidden="false" customHeight="false" outlineLevel="0" collapsed="false">
      <c r="A36" s="3" t="s">
        <v>103</v>
      </c>
      <c r="B36" s="3" t="s">
        <v>77</v>
      </c>
      <c r="C36" s="3" t="s">
        <v>133</v>
      </c>
      <c r="D36" s="3" t="n">
        <v>405</v>
      </c>
    </row>
    <row r="37" customFormat="false" ht="15" hidden="false" customHeight="false" outlineLevel="0" collapsed="false">
      <c r="A37" s="3" t="s">
        <v>81</v>
      </c>
      <c r="B37" s="3" t="s">
        <v>14</v>
      </c>
      <c r="C37" s="3" t="s">
        <v>134</v>
      </c>
      <c r="D37" s="3" t="n">
        <v>404</v>
      </c>
    </row>
    <row r="38" customFormat="false" ht="15" hidden="false" customHeight="false" outlineLevel="0" collapsed="false">
      <c r="A38" s="3" t="s">
        <v>135</v>
      </c>
      <c r="B38" s="3" t="s">
        <v>64</v>
      </c>
      <c r="C38" s="3" t="s">
        <v>136</v>
      </c>
      <c r="D38" s="3" t="n">
        <v>400</v>
      </c>
    </row>
    <row r="39" customFormat="false" ht="15" hidden="false" customHeight="false" outlineLevel="0" collapsed="false">
      <c r="A39" s="3" t="s">
        <v>105</v>
      </c>
      <c r="B39" s="3" t="s">
        <v>21</v>
      </c>
      <c r="C39" s="3" t="s">
        <v>137</v>
      </c>
      <c r="D39" s="3" t="n">
        <v>396</v>
      </c>
    </row>
    <row r="40" customFormat="false" ht="15" hidden="false" customHeight="false" outlineLevel="0" collapsed="false">
      <c r="A40" s="3" t="s">
        <v>127</v>
      </c>
      <c r="B40" s="3" t="s">
        <v>16</v>
      </c>
      <c r="C40" s="3" t="s">
        <v>138</v>
      </c>
      <c r="D40" s="3" t="n">
        <v>389</v>
      </c>
    </row>
    <row r="41" customFormat="false" ht="15" hidden="false" customHeight="false" outlineLevel="0" collapsed="false">
      <c r="A41" s="3" t="s">
        <v>109</v>
      </c>
      <c r="B41" s="3" t="s">
        <v>22</v>
      </c>
      <c r="C41" s="3" t="s">
        <v>139</v>
      </c>
      <c r="D41" s="3" t="n">
        <v>378</v>
      </c>
    </row>
    <row r="42" customFormat="false" ht="15" hidden="false" customHeight="false" outlineLevel="0" collapsed="false">
      <c r="A42" s="3" t="s">
        <v>140</v>
      </c>
      <c r="B42" s="3" t="s">
        <v>16</v>
      </c>
      <c r="C42" s="3" t="s">
        <v>141</v>
      </c>
      <c r="D42" s="3" t="n">
        <v>372</v>
      </c>
    </row>
    <row r="43" customFormat="false" ht="15" hidden="false" customHeight="false" outlineLevel="0" collapsed="false">
      <c r="A43" s="3" t="s">
        <v>127</v>
      </c>
      <c r="B43" s="3" t="s">
        <v>16</v>
      </c>
      <c r="C43" s="3" t="s">
        <v>142</v>
      </c>
      <c r="D43" s="3" t="n">
        <v>370</v>
      </c>
    </row>
    <row r="44" customFormat="false" ht="15" hidden="false" customHeight="false" outlineLevel="0" collapsed="false">
      <c r="A44" s="3" t="s">
        <v>129</v>
      </c>
      <c r="B44" s="3" t="s">
        <v>143</v>
      </c>
      <c r="C44" s="3" t="s">
        <v>144</v>
      </c>
      <c r="D44" s="3" t="n">
        <v>369</v>
      </c>
    </row>
    <row r="45" customFormat="false" ht="15" hidden="false" customHeight="false" outlineLevel="0" collapsed="false">
      <c r="A45" s="3" t="s">
        <v>126</v>
      </c>
      <c r="B45" s="3" t="s">
        <v>12</v>
      </c>
      <c r="C45" s="3" t="s">
        <v>145</v>
      </c>
      <c r="D45" s="3" t="n">
        <v>368</v>
      </c>
    </row>
    <row r="46" customFormat="false" ht="15" hidden="false" customHeight="false" outlineLevel="0" collapsed="false">
      <c r="A46" s="3" t="s">
        <v>105</v>
      </c>
      <c r="B46" s="3" t="s">
        <v>146</v>
      </c>
      <c r="C46" s="3" t="s">
        <v>147</v>
      </c>
      <c r="D46" s="3" t="n">
        <v>365</v>
      </c>
    </row>
    <row r="47" customFormat="false" ht="15" hidden="false" customHeight="false" outlineLevel="0" collapsed="false">
      <c r="A47" s="3" t="s">
        <v>96</v>
      </c>
      <c r="B47" s="3" t="s">
        <v>27</v>
      </c>
      <c r="C47" s="3" t="s">
        <v>148</v>
      </c>
      <c r="D47" s="3" t="n">
        <v>361</v>
      </c>
    </row>
    <row r="48" customFormat="false" ht="15" hidden="false" customHeight="false" outlineLevel="0" collapsed="false">
      <c r="A48" s="3" t="s">
        <v>66</v>
      </c>
      <c r="B48" s="3" t="s">
        <v>14</v>
      </c>
      <c r="C48" s="3" t="s">
        <v>149</v>
      </c>
      <c r="D48" s="3" t="n">
        <v>346</v>
      </c>
    </row>
    <row r="49" customFormat="false" ht="15" hidden="false" customHeight="false" outlineLevel="0" collapsed="false">
      <c r="A49" s="3" t="s">
        <v>150</v>
      </c>
      <c r="B49" s="3" t="s">
        <v>21</v>
      </c>
      <c r="C49" s="3" t="s">
        <v>151</v>
      </c>
      <c r="D49" s="3" t="n">
        <v>333</v>
      </c>
    </row>
    <row r="50" customFormat="false" ht="15" hidden="false" customHeight="false" outlineLevel="0" collapsed="false">
      <c r="A50" s="3" t="s">
        <v>126</v>
      </c>
      <c r="B50" s="3" t="s">
        <v>18</v>
      </c>
      <c r="C50" s="3" t="s">
        <v>152</v>
      </c>
      <c r="D50" s="3" t="n">
        <v>330</v>
      </c>
    </row>
    <row r="51" customFormat="false" ht="15" hidden="false" customHeight="false" outlineLevel="0" collapsed="false">
      <c r="A51" s="3" t="s">
        <v>153</v>
      </c>
      <c r="B51" s="3" t="s">
        <v>154</v>
      </c>
      <c r="C51" s="3" t="s">
        <v>155</v>
      </c>
      <c r="D51" s="3" t="n">
        <v>328</v>
      </c>
    </row>
    <row r="52" customFormat="false" ht="15" hidden="false" customHeight="false" outlineLevel="0" collapsed="false">
      <c r="A52" s="3" t="s">
        <v>79</v>
      </c>
      <c r="B52" s="3" t="s">
        <v>90</v>
      </c>
      <c r="C52" s="3" t="s">
        <v>156</v>
      </c>
      <c r="D52" s="3" t="n">
        <v>327</v>
      </c>
    </row>
    <row r="53" customFormat="false" ht="15" hidden="false" customHeight="false" outlineLevel="0" collapsed="false">
      <c r="A53" s="3" t="s">
        <v>105</v>
      </c>
      <c r="B53" s="3" t="s">
        <v>154</v>
      </c>
      <c r="C53" s="3" t="s">
        <v>157</v>
      </c>
      <c r="D53" s="3" t="n">
        <v>314</v>
      </c>
    </row>
    <row r="54" customFormat="false" ht="15" hidden="false" customHeight="false" outlineLevel="0" collapsed="false">
      <c r="A54" s="3" t="s">
        <v>99</v>
      </c>
      <c r="B54" s="3" t="s">
        <v>12</v>
      </c>
      <c r="C54" s="3" t="s">
        <v>158</v>
      </c>
      <c r="D54" s="3" t="n">
        <v>311</v>
      </c>
    </row>
    <row r="55" customFormat="false" ht="15" hidden="false" customHeight="false" outlineLevel="0" collapsed="false">
      <c r="A55" s="3" t="s">
        <v>79</v>
      </c>
      <c r="B55" s="3" t="s">
        <v>12</v>
      </c>
      <c r="C55" s="3" t="s">
        <v>159</v>
      </c>
      <c r="D55" s="3" t="n">
        <v>305</v>
      </c>
    </row>
    <row r="56" customFormat="false" ht="15" hidden="false" customHeight="false" outlineLevel="0" collapsed="false">
      <c r="A56" s="3" t="s">
        <v>129</v>
      </c>
      <c r="B56" s="3" t="s">
        <v>19</v>
      </c>
      <c r="C56" s="3" t="s">
        <v>160</v>
      </c>
      <c r="D56" s="3" t="n">
        <v>301</v>
      </c>
    </row>
    <row r="57" customFormat="false" ht="15" hidden="false" customHeight="false" outlineLevel="0" collapsed="false">
      <c r="A57" s="3" t="s">
        <v>81</v>
      </c>
      <c r="B57" s="3" t="s">
        <v>161</v>
      </c>
      <c r="C57" s="3" t="s">
        <v>162</v>
      </c>
      <c r="D57" s="3" t="n">
        <v>300</v>
      </c>
    </row>
    <row r="58" customFormat="false" ht="15" hidden="false" customHeight="false" outlineLevel="0" collapsed="false">
      <c r="A58" s="3" t="s">
        <v>76</v>
      </c>
      <c r="B58" s="3" t="s">
        <v>12</v>
      </c>
      <c r="C58" s="3" t="s">
        <v>163</v>
      </c>
      <c r="D58" s="3" t="n">
        <v>293</v>
      </c>
    </row>
    <row r="59" customFormat="false" ht="15" hidden="false" customHeight="false" outlineLevel="0" collapsed="false">
      <c r="A59" s="3" t="s">
        <v>164</v>
      </c>
      <c r="B59" s="3" t="s">
        <v>161</v>
      </c>
      <c r="C59" s="3" t="s">
        <v>165</v>
      </c>
      <c r="D59" s="3" t="n">
        <v>277</v>
      </c>
    </row>
    <row r="60" customFormat="false" ht="15" hidden="false" customHeight="false" outlineLevel="0" collapsed="false">
      <c r="A60" s="3" t="s">
        <v>166</v>
      </c>
      <c r="B60" s="3" t="s">
        <v>12</v>
      </c>
      <c r="C60" s="3" t="s">
        <v>167</v>
      </c>
      <c r="D60" s="3" t="n">
        <v>271</v>
      </c>
    </row>
    <row r="61" customFormat="false" ht="15" hidden="false" customHeight="false" outlineLevel="0" collapsed="false">
      <c r="A61" s="3" t="s">
        <v>124</v>
      </c>
      <c r="B61" s="3" t="s">
        <v>154</v>
      </c>
      <c r="C61" s="3" t="s">
        <v>167</v>
      </c>
      <c r="D61" s="3" t="n">
        <v>271</v>
      </c>
    </row>
    <row r="62" customFormat="false" ht="15" hidden="false" customHeight="false" outlineLevel="0" collapsed="false">
      <c r="A62" s="3" t="s">
        <v>168</v>
      </c>
      <c r="B62" s="3" t="s">
        <v>21</v>
      </c>
      <c r="C62" s="3" t="s">
        <v>169</v>
      </c>
      <c r="D62" s="3" t="n">
        <v>260</v>
      </c>
    </row>
    <row r="63" customFormat="false" ht="15" hidden="false" customHeight="false" outlineLevel="0" collapsed="false">
      <c r="A63" s="3" t="s">
        <v>170</v>
      </c>
      <c r="B63" s="3" t="s">
        <v>12</v>
      </c>
      <c r="C63" s="3" t="s">
        <v>171</v>
      </c>
      <c r="D63" s="3" t="n">
        <v>258</v>
      </c>
    </row>
    <row r="64" customFormat="false" ht="15" hidden="false" customHeight="false" outlineLevel="0" collapsed="false">
      <c r="A64" s="3" t="s">
        <v>172</v>
      </c>
      <c r="B64" s="3" t="s">
        <v>26</v>
      </c>
      <c r="C64" s="3" t="s">
        <v>173</v>
      </c>
      <c r="D64" s="3" t="n">
        <v>246</v>
      </c>
    </row>
    <row r="65" customFormat="false" ht="15" hidden="false" customHeight="false" outlineLevel="0" collapsed="false">
      <c r="A65" s="3" t="s">
        <v>79</v>
      </c>
      <c r="B65" s="3" t="s">
        <v>24</v>
      </c>
      <c r="C65" s="3" t="s">
        <v>174</v>
      </c>
      <c r="D65" s="3" t="n">
        <v>232</v>
      </c>
    </row>
    <row r="66" customFormat="false" ht="15" hidden="false" customHeight="false" outlineLevel="0" collapsed="false">
      <c r="A66" s="3" t="s">
        <v>175</v>
      </c>
      <c r="B66" s="3" t="s">
        <v>120</v>
      </c>
      <c r="C66" s="3" t="s">
        <v>176</v>
      </c>
      <c r="D66" s="3" t="n">
        <v>230</v>
      </c>
    </row>
    <row r="67" customFormat="false" ht="15" hidden="false" customHeight="false" outlineLevel="0" collapsed="false">
      <c r="A67" s="3" t="s">
        <v>177</v>
      </c>
      <c r="B67" s="3" t="s">
        <v>21</v>
      </c>
      <c r="C67" s="3" t="s">
        <v>178</v>
      </c>
      <c r="D67" s="3" t="n">
        <v>229</v>
      </c>
    </row>
    <row r="68" customFormat="false" ht="15" hidden="false" customHeight="false" outlineLevel="0" collapsed="false">
      <c r="A68" s="3" t="s">
        <v>153</v>
      </c>
      <c r="B68" s="3" t="s">
        <v>143</v>
      </c>
      <c r="C68" s="3" t="s">
        <v>179</v>
      </c>
      <c r="D68" s="3" t="n">
        <v>228</v>
      </c>
    </row>
    <row r="69" customFormat="false" ht="15" hidden="false" customHeight="false" outlineLevel="0" collapsed="false">
      <c r="A69" s="3" t="s">
        <v>92</v>
      </c>
      <c r="B69" s="3" t="s">
        <v>19</v>
      </c>
      <c r="C69" s="3" t="s">
        <v>180</v>
      </c>
      <c r="D69" s="3" t="n">
        <v>223</v>
      </c>
    </row>
    <row r="70" customFormat="false" ht="15" hidden="false" customHeight="false" outlineLevel="0" collapsed="false">
      <c r="A70" s="3" t="s">
        <v>181</v>
      </c>
      <c r="B70" s="3" t="s">
        <v>143</v>
      </c>
      <c r="C70" s="3" t="s">
        <v>182</v>
      </c>
      <c r="D70" s="3" t="n">
        <v>217</v>
      </c>
    </row>
    <row r="71" customFormat="false" ht="15" hidden="false" customHeight="false" outlineLevel="0" collapsed="false">
      <c r="A71" s="3" t="s">
        <v>181</v>
      </c>
      <c r="B71" s="3" t="s">
        <v>183</v>
      </c>
      <c r="C71" s="3" t="s">
        <v>184</v>
      </c>
      <c r="D71" s="3" t="n">
        <v>213</v>
      </c>
    </row>
    <row r="72" customFormat="false" ht="15" hidden="false" customHeight="false" outlineLevel="0" collapsed="false">
      <c r="A72" s="3" t="s">
        <v>87</v>
      </c>
      <c r="B72" s="3" t="s">
        <v>19</v>
      </c>
      <c r="C72" s="3" t="s">
        <v>185</v>
      </c>
      <c r="D72" s="3" t="n">
        <v>210</v>
      </c>
    </row>
    <row r="73" customFormat="false" ht="15" hidden="false" customHeight="false" outlineLevel="0" collapsed="false">
      <c r="A73" s="3" t="s">
        <v>186</v>
      </c>
      <c r="B73" s="3" t="s">
        <v>77</v>
      </c>
      <c r="C73" s="3" t="s">
        <v>187</v>
      </c>
      <c r="D73" s="3" t="n">
        <v>209</v>
      </c>
    </row>
    <row r="74" customFormat="false" ht="15" hidden="false" customHeight="false" outlineLevel="0" collapsed="false">
      <c r="A74" s="3" t="s">
        <v>81</v>
      </c>
      <c r="B74" s="3" t="s">
        <v>21</v>
      </c>
      <c r="C74" s="3" t="s">
        <v>188</v>
      </c>
      <c r="D74" s="3" t="n">
        <v>204</v>
      </c>
    </row>
    <row r="75" customFormat="false" ht="15" hidden="false" customHeight="false" outlineLevel="0" collapsed="false">
      <c r="A75" s="3" t="s">
        <v>129</v>
      </c>
      <c r="B75" s="3" t="s">
        <v>19</v>
      </c>
      <c r="C75" s="3" t="s">
        <v>189</v>
      </c>
      <c r="D75" s="3" t="n">
        <v>203</v>
      </c>
    </row>
    <row r="76" customFormat="false" ht="15" hidden="false" customHeight="false" outlineLevel="0" collapsed="false">
      <c r="A76" s="3" t="s">
        <v>83</v>
      </c>
      <c r="B76" s="3" t="s">
        <v>19</v>
      </c>
      <c r="C76" s="3" t="s">
        <v>190</v>
      </c>
      <c r="D76" s="3" t="n">
        <v>194</v>
      </c>
    </row>
    <row r="77" customFormat="false" ht="15" hidden="false" customHeight="false" outlineLevel="0" collapsed="false">
      <c r="A77" s="3" t="s">
        <v>109</v>
      </c>
      <c r="B77" s="3" t="s">
        <v>14</v>
      </c>
      <c r="C77" s="3" t="s">
        <v>190</v>
      </c>
      <c r="D77" s="3" t="n">
        <v>194</v>
      </c>
    </row>
    <row r="78" customFormat="false" ht="15" hidden="false" customHeight="false" outlineLevel="0" collapsed="false">
      <c r="A78" s="3" t="s">
        <v>191</v>
      </c>
      <c r="B78" s="3" t="s">
        <v>97</v>
      </c>
      <c r="C78" s="3" t="s">
        <v>192</v>
      </c>
      <c r="D78" s="3" t="n">
        <v>187</v>
      </c>
    </row>
    <row r="79" customFormat="false" ht="15" hidden="false" customHeight="false" outlineLevel="0" collapsed="false">
      <c r="A79" s="3" t="s">
        <v>135</v>
      </c>
      <c r="B79" s="3" t="s">
        <v>14</v>
      </c>
      <c r="C79" s="3" t="s">
        <v>193</v>
      </c>
      <c r="D79" s="3" t="n">
        <v>183</v>
      </c>
    </row>
    <row r="80" customFormat="false" ht="15" hidden="false" customHeight="false" outlineLevel="0" collapsed="false">
      <c r="A80" s="3" t="s">
        <v>194</v>
      </c>
      <c r="B80" s="3" t="s">
        <v>12</v>
      </c>
      <c r="C80" s="3" t="s">
        <v>193</v>
      </c>
      <c r="D80" s="3" t="n">
        <v>183</v>
      </c>
    </row>
    <row r="81" customFormat="false" ht="15" hidden="false" customHeight="false" outlineLevel="0" collapsed="false">
      <c r="A81" s="3" t="s">
        <v>175</v>
      </c>
      <c r="B81" s="3" t="s">
        <v>16</v>
      </c>
      <c r="C81" s="3" t="s">
        <v>195</v>
      </c>
      <c r="D81" s="3" t="n">
        <v>180</v>
      </c>
    </row>
    <row r="82" customFormat="false" ht="15" hidden="false" customHeight="false" outlineLevel="0" collapsed="false">
      <c r="A82" s="3" t="s">
        <v>113</v>
      </c>
      <c r="B82" s="3" t="s">
        <v>16</v>
      </c>
      <c r="C82" s="3" t="s">
        <v>195</v>
      </c>
      <c r="D82" s="3" t="n">
        <v>180</v>
      </c>
    </row>
    <row r="83" customFormat="false" ht="15" hidden="false" customHeight="false" outlineLevel="0" collapsed="false">
      <c r="A83" s="3" t="s">
        <v>196</v>
      </c>
      <c r="B83" s="3" t="s">
        <v>27</v>
      </c>
      <c r="C83" s="3" t="s">
        <v>197</v>
      </c>
      <c r="D83" s="3" t="n">
        <v>178</v>
      </c>
    </row>
    <row r="84" customFormat="false" ht="15" hidden="false" customHeight="false" outlineLevel="0" collapsed="false">
      <c r="A84" s="3" t="s">
        <v>172</v>
      </c>
      <c r="B84" s="3" t="s">
        <v>21</v>
      </c>
      <c r="C84" s="3" t="s">
        <v>198</v>
      </c>
      <c r="D84" s="3" t="n">
        <v>172</v>
      </c>
    </row>
    <row r="85" customFormat="false" ht="15" hidden="false" customHeight="false" outlineLevel="0" collapsed="false">
      <c r="A85" s="3" t="s">
        <v>199</v>
      </c>
      <c r="B85" s="3" t="s">
        <v>146</v>
      </c>
      <c r="C85" s="3" t="s">
        <v>200</v>
      </c>
      <c r="D85" s="3" t="n">
        <v>166</v>
      </c>
    </row>
    <row r="86" customFormat="false" ht="15" hidden="false" customHeight="false" outlineLevel="0" collapsed="false">
      <c r="A86" s="3" t="s">
        <v>191</v>
      </c>
      <c r="B86" s="3" t="s">
        <v>143</v>
      </c>
      <c r="C86" s="3" t="s">
        <v>200</v>
      </c>
      <c r="D86" s="3" t="n">
        <v>166</v>
      </c>
    </row>
    <row r="87" customFormat="false" ht="15" hidden="false" customHeight="false" outlineLevel="0" collapsed="false">
      <c r="A87" s="3" t="s">
        <v>191</v>
      </c>
      <c r="B87" s="3" t="s">
        <v>12</v>
      </c>
      <c r="C87" s="3" t="s">
        <v>201</v>
      </c>
      <c r="D87" s="3" t="n">
        <v>164</v>
      </c>
    </row>
    <row r="88" customFormat="false" ht="15" hidden="false" customHeight="false" outlineLevel="0" collapsed="false">
      <c r="A88" s="3" t="s">
        <v>94</v>
      </c>
      <c r="B88" s="3" t="s">
        <v>131</v>
      </c>
      <c r="C88" s="3" t="s">
        <v>202</v>
      </c>
      <c r="D88" s="3" t="n">
        <v>161</v>
      </c>
    </row>
    <row r="89" customFormat="false" ht="15" hidden="false" customHeight="false" outlineLevel="0" collapsed="false">
      <c r="A89" s="3" t="s">
        <v>92</v>
      </c>
      <c r="B89" s="3" t="s">
        <v>131</v>
      </c>
      <c r="C89" s="3" t="s">
        <v>203</v>
      </c>
      <c r="D89" s="3" t="n">
        <v>160</v>
      </c>
    </row>
    <row r="90" customFormat="false" ht="15" hidden="false" customHeight="false" outlineLevel="0" collapsed="false">
      <c r="A90" s="3" t="s">
        <v>103</v>
      </c>
      <c r="B90" s="3" t="s">
        <v>14</v>
      </c>
      <c r="C90" s="3" t="s">
        <v>204</v>
      </c>
      <c r="D90" s="3" t="n">
        <v>148</v>
      </c>
    </row>
    <row r="91" customFormat="false" ht="15" hidden="false" customHeight="false" outlineLevel="0" collapsed="false">
      <c r="A91" s="3" t="s">
        <v>170</v>
      </c>
      <c r="B91" s="3" t="s">
        <v>131</v>
      </c>
      <c r="C91" s="3" t="s">
        <v>205</v>
      </c>
      <c r="D91" s="3" t="n">
        <v>146</v>
      </c>
    </row>
    <row r="92" customFormat="false" ht="15" hidden="false" customHeight="false" outlineLevel="0" collapsed="false">
      <c r="A92" s="3" t="s">
        <v>103</v>
      </c>
      <c r="B92" s="3" t="s">
        <v>21</v>
      </c>
      <c r="C92" s="3" t="s">
        <v>206</v>
      </c>
      <c r="D92" s="3" t="n">
        <v>139</v>
      </c>
    </row>
    <row r="93" customFormat="false" ht="15" hidden="false" customHeight="false" outlineLevel="0" collapsed="false">
      <c r="A93" s="3" t="s">
        <v>115</v>
      </c>
      <c r="B93" s="3" t="s">
        <v>16</v>
      </c>
      <c r="C93" s="3" t="s">
        <v>207</v>
      </c>
      <c r="D93" s="3" t="n">
        <v>136</v>
      </c>
    </row>
    <row r="94" customFormat="false" ht="15" hidden="false" customHeight="false" outlineLevel="0" collapsed="false">
      <c r="A94" s="3" t="s">
        <v>73</v>
      </c>
      <c r="B94" s="3" t="s">
        <v>18</v>
      </c>
      <c r="C94" s="3" t="s">
        <v>208</v>
      </c>
      <c r="D94" s="3" t="n">
        <v>131</v>
      </c>
    </row>
    <row r="95" customFormat="false" ht="15" hidden="false" customHeight="false" outlineLevel="0" collapsed="false">
      <c r="A95" s="3" t="s">
        <v>71</v>
      </c>
      <c r="B95" s="3" t="s">
        <v>143</v>
      </c>
      <c r="C95" s="3" t="s">
        <v>209</v>
      </c>
      <c r="D95" s="3" t="n">
        <v>130</v>
      </c>
    </row>
    <row r="96" customFormat="false" ht="15" hidden="false" customHeight="false" outlineLevel="0" collapsed="false">
      <c r="A96" s="3" t="s">
        <v>127</v>
      </c>
      <c r="B96" s="3" t="s">
        <v>18</v>
      </c>
      <c r="C96" s="3" t="s">
        <v>210</v>
      </c>
      <c r="D96" s="3" t="n">
        <v>126</v>
      </c>
    </row>
    <row r="97" customFormat="false" ht="15" hidden="false" customHeight="false" outlineLevel="0" collapsed="false">
      <c r="A97" s="3" t="s">
        <v>129</v>
      </c>
      <c r="B97" s="3" t="s">
        <v>211</v>
      </c>
      <c r="C97" s="3" t="s">
        <v>212</v>
      </c>
      <c r="D97" s="3" t="n">
        <v>125</v>
      </c>
    </row>
    <row r="98" customFormat="false" ht="15" hidden="false" customHeight="false" outlineLevel="0" collapsed="false">
      <c r="A98" s="3" t="s">
        <v>63</v>
      </c>
      <c r="B98" s="3" t="s">
        <v>12</v>
      </c>
      <c r="C98" s="3" t="s">
        <v>213</v>
      </c>
      <c r="D98" s="3" t="n">
        <v>106</v>
      </c>
    </row>
    <row r="99" customFormat="false" ht="15" hidden="false" customHeight="false" outlineLevel="0" collapsed="false">
      <c r="A99" s="3" t="s">
        <v>172</v>
      </c>
      <c r="B99" s="3" t="s">
        <v>12</v>
      </c>
      <c r="C99" s="3" t="s">
        <v>214</v>
      </c>
      <c r="D99" s="3" t="n">
        <v>102</v>
      </c>
    </row>
    <row r="100" customFormat="false" ht="15" hidden="false" customHeight="false" outlineLevel="0" collapsed="false">
      <c r="A100" s="3" t="s">
        <v>127</v>
      </c>
      <c r="B100" s="3" t="s">
        <v>16</v>
      </c>
      <c r="C100" s="3" t="s">
        <v>215</v>
      </c>
      <c r="D100" s="3" t="n">
        <v>97</v>
      </c>
    </row>
    <row r="101" customFormat="false" ht="15" hidden="false" customHeight="false" outlineLevel="0" collapsed="false">
      <c r="A101" s="3" t="s">
        <v>126</v>
      </c>
      <c r="B101" s="3" t="s">
        <v>12</v>
      </c>
      <c r="C101" s="3" t="s">
        <v>216</v>
      </c>
      <c r="D101" s="3" t="n">
        <v>95</v>
      </c>
    </row>
    <row r="102" customFormat="false" ht="15" hidden="false" customHeight="false" outlineLevel="0" collapsed="false">
      <c r="A102" s="3" t="s">
        <v>101</v>
      </c>
      <c r="B102" s="3" t="s">
        <v>16</v>
      </c>
      <c r="C102" s="3" t="s">
        <v>217</v>
      </c>
      <c r="D102" s="3" t="n">
        <v>94</v>
      </c>
    </row>
    <row r="103" customFormat="false" ht="15" hidden="false" customHeight="false" outlineLevel="0" collapsed="false">
      <c r="A103" s="3" t="s">
        <v>83</v>
      </c>
      <c r="B103" s="3" t="s">
        <v>120</v>
      </c>
      <c r="C103" s="3" t="s">
        <v>218</v>
      </c>
      <c r="D103" s="3" t="n">
        <v>92</v>
      </c>
    </row>
    <row r="104" customFormat="false" ht="15" hidden="false" customHeight="false" outlineLevel="0" collapsed="false">
      <c r="A104" s="3" t="s">
        <v>219</v>
      </c>
      <c r="B104" s="3" t="s">
        <v>21</v>
      </c>
      <c r="C104" s="3" t="s">
        <v>220</v>
      </c>
      <c r="D104" s="3" t="n">
        <v>90</v>
      </c>
    </row>
    <row r="105" customFormat="false" ht="15" hidden="false" customHeight="false" outlineLevel="0" collapsed="false">
      <c r="A105" s="3" t="s">
        <v>92</v>
      </c>
      <c r="B105" s="3" t="s">
        <v>221</v>
      </c>
      <c r="C105" s="3" t="s">
        <v>222</v>
      </c>
      <c r="D105" s="3" t="n">
        <v>89</v>
      </c>
    </row>
    <row r="106" customFormat="false" ht="15" hidden="false" customHeight="false" outlineLevel="0" collapsed="false">
      <c r="A106" s="3" t="s">
        <v>223</v>
      </c>
      <c r="B106" s="3" t="s">
        <v>69</v>
      </c>
      <c r="C106" s="3" t="s">
        <v>222</v>
      </c>
      <c r="D106" s="3" t="n">
        <v>89</v>
      </c>
    </row>
    <row r="107" customFormat="false" ht="15" hidden="false" customHeight="false" outlineLevel="0" collapsed="false">
      <c r="A107" s="3" t="s">
        <v>224</v>
      </c>
      <c r="B107" s="3" t="s">
        <v>74</v>
      </c>
      <c r="C107" s="3" t="s">
        <v>225</v>
      </c>
      <c r="D107" s="3" t="n">
        <v>85</v>
      </c>
    </row>
    <row r="108" customFormat="false" ht="15" hidden="false" customHeight="false" outlineLevel="0" collapsed="false">
      <c r="A108" s="3" t="s">
        <v>181</v>
      </c>
      <c r="B108" s="3" t="s">
        <v>221</v>
      </c>
      <c r="C108" s="3" t="s">
        <v>225</v>
      </c>
      <c r="D108" s="3" t="n">
        <v>85</v>
      </c>
    </row>
    <row r="109" customFormat="false" ht="15" hidden="false" customHeight="false" outlineLevel="0" collapsed="false">
      <c r="A109" s="3" t="s">
        <v>153</v>
      </c>
      <c r="B109" s="3" t="s">
        <v>226</v>
      </c>
      <c r="C109" s="3" t="s">
        <v>227</v>
      </c>
      <c r="D109" s="3" t="n">
        <v>80</v>
      </c>
    </row>
    <row r="110" customFormat="false" ht="15" hidden="false" customHeight="false" outlineLevel="0" collapsed="false">
      <c r="A110" s="3" t="s">
        <v>122</v>
      </c>
      <c r="B110" s="3" t="s">
        <v>21</v>
      </c>
      <c r="C110" s="3" t="s">
        <v>228</v>
      </c>
      <c r="D110" s="3" t="n">
        <v>78</v>
      </c>
    </row>
    <row r="111" customFormat="false" ht="15" hidden="false" customHeight="false" outlineLevel="0" collapsed="false">
      <c r="A111" s="3" t="s">
        <v>170</v>
      </c>
      <c r="B111" s="3" t="s">
        <v>229</v>
      </c>
      <c r="C111" s="3" t="s">
        <v>230</v>
      </c>
      <c r="D111" s="3" t="n">
        <v>75</v>
      </c>
    </row>
    <row r="112" customFormat="false" ht="15" hidden="false" customHeight="false" outlineLevel="0" collapsed="false">
      <c r="A112" s="3" t="s">
        <v>231</v>
      </c>
      <c r="B112" s="3" t="s">
        <v>27</v>
      </c>
      <c r="C112" s="3" t="s">
        <v>232</v>
      </c>
      <c r="D112" s="3" t="n">
        <v>71</v>
      </c>
    </row>
    <row r="113" customFormat="false" ht="15" hidden="false" customHeight="false" outlineLevel="0" collapsed="false">
      <c r="A113" s="3" t="s">
        <v>153</v>
      </c>
      <c r="B113" s="3" t="s">
        <v>19</v>
      </c>
      <c r="C113" s="3" t="s">
        <v>233</v>
      </c>
      <c r="D113" s="3" t="n">
        <v>69</v>
      </c>
    </row>
    <row r="114" customFormat="false" ht="15" hidden="false" customHeight="false" outlineLevel="0" collapsed="false">
      <c r="A114" s="3" t="s">
        <v>234</v>
      </c>
      <c r="B114" s="3" t="s">
        <v>74</v>
      </c>
      <c r="C114" s="3" t="s">
        <v>233</v>
      </c>
      <c r="D114" s="3" t="n">
        <v>69</v>
      </c>
    </row>
    <row r="115" customFormat="false" ht="15" hidden="false" customHeight="false" outlineLevel="0" collapsed="false">
      <c r="A115" s="3" t="s">
        <v>124</v>
      </c>
      <c r="B115" s="3" t="s">
        <v>27</v>
      </c>
      <c r="C115" s="3" t="s">
        <v>235</v>
      </c>
      <c r="D115" s="3" t="n">
        <v>66</v>
      </c>
    </row>
    <row r="116" customFormat="false" ht="15" hidden="false" customHeight="false" outlineLevel="0" collapsed="false">
      <c r="A116" s="3" t="s">
        <v>73</v>
      </c>
      <c r="B116" s="3" t="s">
        <v>14</v>
      </c>
      <c r="C116" s="3" t="s">
        <v>236</v>
      </c>
      <c r="D116" s="3" t="n">
        <v>59</v>
      </c>
    </row>
    <row r="117" customFormat="false" ht="15" hidden="false" customHeight="false" outlineLevel="0" collapsed="false">
      <c r="A117" s="3" t="s">
        <v>101</v>
      </c>
      <c r="B117" s="3" t="s">
        <v>22</v>
      </c>
      <c r="C117" s="3" t="s">
        <v>237</v>
      </c>
      <c r="D117" s="3" t="n">
        <v>56</v>
      </c>
    </row>
    <row r="118" customFormat="false" ht="15" hidden="false" customHeight="false" outlineLevel="0" collapsed="false">
      <c r="A118" s="3" t="s">
        <v>238</v>
      </c>
      <c r="B118" s="3" t="s">
        <v>12</v>
      </c>
      <c r="C118" s="3" t="s">
        <v>239</v>
      </c>
      <c r="D118" s="3" t="n">
        <v>53</v>
      </c>
    </row>
    <row r="119" customFormat="false" ht="15" hidden="false" customHeight="false" outlineLevel="0" collapsed="false">
      <c r="A119" s="3" t="s">
        <v>150</v>
      </c>
      <c r="B119" s="3" t="s">
        <v>97</v>
      </c>
      <c r="C119" s="3" t="s">
        <v>239</v>
      </c>
      <c r="D119" s="3" t="n">
        <v>53</v>
      </c>
    </row>
    <row r="120" customFormat="false" ht="15" hidden="false" customHeight="false" outlineLevel="0" collapsed="false">
      <c r="A120" s="3" t="s">
        <v>89</v>
      </c>
      <c r="B120" s="3" t="s">
        <v>18</v>
      </c>
      <c r="C120" s="3" t="s">
        <v>240</v>
      </c>
      <c r="D120" s="3" t="n">
        <v>50</v>
      </c>
    </row>
    <row r="121" customFormat="false" ht="15" hidden="false" customHeight="false" outlineLevel="0" collapsed="false">
      <c r="A121" s="3" t="s">
        <v>181</v>
      </c>
      <c r="B121" s="3" t="s">
        <v>26</v>
      </c>
      <c r="C121" s="3" t="s">
        <v>241</v>
      </c>
      <c r="D121" s="3" t="n">
        <v>49</v>
      </c>
    </row>
    <row r="122" customFormat="false" ht="15" hidden="false" customHeight="false" outlineLevel="0" collapsed="false">
      <c r="A122" s="3" t="s">
        <v>119</v>
      </c>
      <c r="B122" s="3" t="s">
        <v>90</v>
      </c>
      <c r="C122" s="3" t="s">
        <v>241</v>
      </c>
      <c r="D122" s="3" t="n">
        <v>49</v>
      </c>
    </row>
    <row r="123" customFormat="false" ht="15" hidden="false" customHeight="false" outlineLevel="0" collapsed="false">
      <c r="A123" s="3" t="s">
        <v>101</v>
      </c>
      <c r="B123" s="3" t="s">
        <v>229</v>
      </c>
      <c r="C123" s="3" t="s">
        <v>242</v>
      </c>
      <c r="D123" s="3" t="n">
        <v>42</v>
      </c>
    </row>
    <row r="124" customFormat="false" ht="15" hidden="false" customHeight="false" outlineLevel="0" collapsed="false">
      <c r="A124" s="3" t="s">
        <v>175</v>
      </c>
      <c r="B124" s="3" t="s">
        <v>143</v>
      </c>
      <c r="C124" s="3" t="s">
        <v>243</v>
      </c>
      <c r="D124" s="3" t="n">
        <v>24</v>
      </c>
    </row>
    <row r="125" customFormat="false" ht="15" hidden="false" customHeight="false" outlineLevel="0" collapsed="false">
      <c r="A125" s="3" t="s">
        <v>94</v>
      </c>
      <c r="B125" s="3" t="s">
        <v>12</v>
      </c>
      <c r="C125" s="3" t="s">
        <v>244</v>
      </c>
      <c r="D125" s="3" t="n">
        <v>22</v>
      </c>
    </row>
    <row r="126" customFormat="false" ht="15" hidden="false" customHeight="false" outlineLevel="0" collapsed="false">
      <c r="A126" s="3" t="s">
        <v>231</v>
      </c>
      <c r="B126" s="3" t="s">
        <v>22</v>
      </c>
      <c r="C126" s="3" t="s">
        <v>245</v>
      </c>
      <c r="D126" s="3" t="n">
        <v>21</v>
      </c>
    </row>
    <row r="127" customFormat="false" ht="15" hidden="false" customHeight="false" outlineLevel="0" collapsed="false">
      <c r="A127" s="3" t="s">
        <v>234</v>
      </c>
      <c r="B127" s="3" t="s">
        <v>74</v>
      </c>
      <c r="C127" s="3" t="s">
        <v>246</v>
      </c>
      <c r="D127" s="3" t="n">
        <v>18</v>
      </c>
    </row>
    <row r="128" customFormat="false" ht="15" hidden="false" customHeight="false" outlineLevel="0" collapsed="false">
      <c r="A128" s="3" t="s">
        <v>113</v>
      </c>
      <c r="B128" s="3" t="s">
        <v>16</v>
      </c>
      <c r="C128" s="3" t="s">
        <v>247</v>
      </c>
      <c r="D128" s="3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2026-07-28T14:24:12Z</dcterms:created>
  <dc:creator>openpyxl</dc:creator>
  <dc:description/>
  <dc:language>en-US</dc:language>
  <cp:lastModifiedBy/>
  <dcterms:modified xsi:type="dcterms:W3CDTF">2026-07-28T14:24:17Z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